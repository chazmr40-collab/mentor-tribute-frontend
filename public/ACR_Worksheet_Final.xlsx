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R_Worksheet" sheetId="1" state="visible" r:id="rId1"/>
    <sheet xmlns:r="http://schemas.openxmlformats.org/officeDocument/2006/relationships" name="Crite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8" customWidth="1" min="5" max="5"/>
    <col width="12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8" customWidth="1" min="13" max="13"/>
    <col width="10" customWidth="1" min="14" max="14"/>
    <col width="10" customWidth="1" min="15" max="15"/>
    <col width="14" customWidth="1" min="16" max="16"/>
    <col width="10" customWidth="1" min="17" max="17"/>
    <col width="12" customWidth="1" min="18" max="18"/>
    <col width="10" customWidth="1" min="19" max="19"/>
    <col width="16" customWidth="1" min="20" max="20"/>
    <col width="12" customWidth="1" min="21" max="21"/>
    <col width="42" customWidth="1" min="22" max="22"/>
  </cols>
  <sheetData>
    <row r="1">
      <c r="A1" t="inlineStr">
        <is>
          <t>ACR Clinical Test Checker – MRI Sequence Worksheet</t>
        </is>
      </c>
    </row>
    <row r="3">
      <c r="A3" t="inlineStr">
        <is>
          <t>Current Exam Type:</t>
        </is>
      </c>
    </row>
    <row r="4">
      <c r="A4" t="inlineStr">
        <is>
          <t>Max Slice Thickness (mm)</t>
        </is>
      </c>
      <c r="B4">
        <f>IFERROR(INDEX(Criteria!$C$5:$C$15, MATCH($B$3, Criteria!$A$5:$A$15, 0)), "")</f>
        <v/>
      </c>
    </row>
    <row r="5">
      <c r="A5" t="inlineStr">
        <is>
          <t>Max Gap (mm)</t>
        </is>
      </c>
      <c r="B5">
        <f>IFERROR(INDEX(Criteria!$D$5:$D$15, MATCH($B$3, Criteria!$A$5:$A$15, 0)), "")</f>
        <v/>
      </c>
    </row>
    <row r="6">
      <c r="A6" t="inlineStr">
        <is>
          <t>Max Pixel Area (mm²)</t>
        </is>
      </c>
      <c r="B6">
        <f>IFERROR(INDEX(Criteria!$E$5:$E$15, MATCH($B$3, Criteria!$A$5:$A$15, 0)), "")</f>
        <v/>
      </c>
    </row>
    <row r="8">
      <c r="A8" t="inlineStr">
        <is>
          <t>Exam Type</t>
        </is>
      </c>
      <c r="B8" t="inlineStr">
        <is>
          <t>Body Region</t>
        </is>
      </c>
      <c r="C8" t="inlineStr">
        <is>
          <t>Sequence Name / Type</t>
        </is>
      </c>
      <c r="D8" t="inlineStr">
        <is>
          <t>Orientation</t>
        </is>
      </c>
      <c r="E8" t="inlineStr">
        <is>
          <t>Slice Thickness (mm)</t>
        </is>
      </c>
      <c r="F8" t="inlineStr">
        <is>
          <t>Gap (mm)</t>
        </is>
      </c>
      <c r="G8" t="inlineStr">
        <is>
          <t>FOVp (mm)</t>
        </is>
      </c>
      <c r="H8" t="inlineStr">
        <is>
          <t>FOVf (mm)</t>
        </is>
      </c>
      <c r="I8" t="inlineStr">
        <is>
          <t>Phase Matrix (Np)</t>
        </is>
      </c>
      <c r="J8" t="inlineStr">
        <is>
          <t>Freq Matrix (Nf)</t>
        </is>
      </c>
      <c r="K8" t="inlineStr">
        <is>
          <t>Pixel (read, mm)</t>
        </is>
      </c>
      <c r="L8" t="inlineStr">
        <is>
          <t>Pixel (phase, mm)</t>
        </is>
      </c>
      <c r="M8" t="inlineStr">
        <is>
          <t>Pixel Area (mm²)</t>
        </is>
      </c>
      <c r="N8" t="inlineStr">
        <is>
          <t>TR (ms)</t>
        </is>
      </c>
      <c r="O8" t="inlineStr">
        <is>
          <t>TE (ms)</t>
        </is>
      </c>
      <c r="P8" t="inlineStr">
        <is>
          <t>Flip Angle (°)</t>
        </is>
      </c>
      <c r="Q8" t="inlineStr">
        <is>
          <t>TI (ms)</t>
        </is>
      </c>
      <c r="R8" t="inlineStr">
        <is>
          <t># Averages</t>
        </is>
      </c>
      <c r="S8" t="inlineStr">
        <is>
          <t>B value</t>
        </is>
      </c>
      <c r="T8" t="inlineStr">
        <is>
          <t>Temporal Res (ms)</t>
        </is>
      </c>
      <c r="U8" t="inlineStr">
        <is>
          <t>Pass / Review</t>
        </is>
      </c>
      <c r="V8" t="inlineStr">
        <is>
          <t>Suggested Action</t>
        </is>
      </c>
    </row>
    <row r="9">
      <c r="K9">
        <f>IF(J9&gt;0, H9/J9, "")</f>
        <v/>
      </c>
      <c r="L9">
        <f>IF(I9&gt;0, G9/I9, "")</f>
        <v/>
      </c>
      <c r="M9">
        <f>IF(AND(K9&gt;0,L9&gt;0), K9*L9, "")</f>
        <v/>
      </c>
      <c r="U9">
        <f>IF(OR(E9="",F9="",M9=""),"",IF(AND(E9&lt;=$B$4,F9&lt;=$B$5,M9&lt;=$B$6),"Pass","Review"))</f>
        <v/>
      </c>
      <c r="V9">
        <f>IF(OR(E9="",F9="",M9=""),"",IF(E9&gt;$B$4,"Slice thickness above limit – lower slice thickness or adjust coverage.",IF(F9&gt;$B$5,"Gap above limit – reduce or remove interslice gap.",IF(M9&gt;$B$6,"Pixel size above limit – reduce FOV or increase matrix to improve resolution.","Meets current criteria."))))</f>
        <v/>
      </c>
    </row>
    <row r="10">
      <c r="K10">
        <f>IF(J10&gt;0, H10/J10, "")</f>
        <v/>
      </c>
      <c r="L10">
        <f>IF(I10&gt;0, G10/I10, "")</f>
        <v/>
      </c>
      <c r="M10">
        <f>IF(AND(K10&gt;0,L10&gt;0), K10*L10, "")</f>
        <v/>
      </c>
      <c r="U10">
        <f>IF(OR(E10="",F10="",M10=""),"",IF(AND(E10&lt;=$B$4,F10&lt;=$B$5,M10&lt;=$B$6),"Pass","Review"))</f>
        <v/>
      </c>
      <c r="V10">
        <f>IF(OR(E10="",F10="",M10=""),"",IF(E10&gt;$B$4,"Slice thickness above limit – lower slice thickness or adjust coverage.",IF(F10&gt;$B$5,"Gap above limit – reduce or remove interslice gap.",IF(M10&gt;$B$6,"Pixel size above limit – reduce FOV or increase matrix to improve resolution.","Meets current criteria."))))</f>
        <v/>
      </c>
    </row>
    <row r="11">
      <c r="K11">
        <f>IF(J11&gt;0, H11/J11, "")</f>
        <v/>
      </c>
      <c r="L11">
        <f>IF(I11&gt;0, G11/I11, "")</f>
        <v/>
      </c>
      <c r="M11">
        <f>IF(AND(K11&gt;0,L11&gt;0), K11*L11, "")</f>
        <v/>
      </c>
      <c r="U11">
        <f>IF(OR(E11="",F11="",M11=""),"",IF(AND(E11&lt;=$B$4,F11&lt;=$B$5,M11&lt;=$B$6),"Pass","Review"))</f>
        <v/>
      </c>
      <c r="V11">
        <f>IF(OR(E11="",F11="",M11=""),"",IF(E11&gt;$B$4,"Slice thickness above limit – lower slice thickness or adjust coverage.",IF(F11&gt;$B$5,"Gap above limit – reduce or remove interslice gap.",IF(M11&gt;$B$6,"Pixel size above limit – reduce FOV or increase matrix to improve resolution.","Meets current criteria."))))</f>
        <v/>
      </c>
    </row>
    <row r="12">
      <c r="K12">
        <f>IF(J12&gt;0, H12/J12, "")</f>
        <v/>
      </c>
      <c r="L12">
        <f>IF(I12&gt;0, G12/I12, "")</f>
        <v/>
      </c>
      <c r="M12">
        <f>IF(AND(K12&gt;0,L12&gt;0), K12*L12, "")</f>
        <v/>
      </c>
      <c r="U12">
        <f>IF(OR(E12="",F12="",M12=""),"",IF(AND(E12&lt;=$B$4,F12&lt;=$B$5,M12&lt;=$B$6),"Pass","Review"))</f>
        <v/>
      </c>
      <c r="V12">
        <f>IF(OR(E12="",F12="",M12=""),"",IF(E12&gt;$B$4,"Slice thickness above limit – lower slice thickness or adjust coverage.",IF(F12&gt;$B$5,"Gap above limit – reduce or remove interslice gap.",IF(M12&gt;$B$6,"Pixel size above limit – reduce FOV or increase matrix to improve resolution.","Meets current criteria."))))</f>
        <v/>
      </c>
    </row>
    <row r="13">
      <c r="K13">
        <f>IF(J13&gt;0, H13/J13, "")</f>
        <v/>
      </c>
      <c r="L13">
        <f>IF(I13&gt;0, G13/I13, "")</f>
        <v/>
      </c>
      <c r="M13">
        <f>IF(AND(K13&gt;0,L13&gt;0), K13*L13, "")</f>
        <v/>
      </c>
      <c r="U13">
        <f>IF(OR(E13="",F13="",M13=""),"",IF(AND(E13&lt;=$B$4,F13&lt;=$B$5,M13&lt;=$B$6),"Pass","Review"))</f>
        <v/>
      </c>
      <c r="V13">
        <f>IF(OR(E13="",F13="",M13=""),"",IF(E13&gt;$B$4,"Slice thickness above limit – lower slice thickness or adjust coverage.",IF(F13&gt;$B$5,"Gap above limit – reduce or remove interslice gap.",IF(M13&gt;$B$6,"Pixel size above limit – reduce FOV or increase matrix to improve resolution.","Meets current criteria."))))</f>
        <v/>
      </c>
    </row>
    <row r="14">
      <c r="K14">
        <f>IF(J14&gt;0, H14/J14, "")</f>
        <v/>
      </c>
      <c r="L14">
        <f>IF(I14&gt;0, G14/I14, "")</f>
        <v/>
      </c>
      <c r="M14">
        <f>IF(AND(K14&gt;0,L14&gt;0), K14*L14, "")</f>
        <v/>
      </c>
      <c r="U14">
        <f>IF(OR(E14="",F14="",M14=""),"",IF(AND(E14&lt;=$B$4,F14&lt;=$B$5,M14&lt;=$B$6),"Pass","Review"))</f>
        <v/>
      </c>
      <c r="V14">
        <f>IF(OR(E14="",F14="",M14=""),"",IF(E14&gt;$B$4,"Slice thickness above limit – lower slice thickness or adjust coverage.",IF(F14&gt;$B$5,"Gap above limit – reduce or remove interslice gap.",IF(M14&gt;$B$6,"Pixel size above limit – reduce FOV or increase matrix to improve resolution.","Meets current criteria."))))</f>
        <v/>
      </c>
    </row>
    <row r="15">
      <c r="K15">
        <f>IF(J15&gt;0, H15/J15, "")</f>
        <v/>
      </c>
      <c r="L15">
        <f>IF(I15&gt;0, G15/I15, "")</f>
        <v/>
      </c>
      <c r="M15">
        <f>IF(AND(K15&gt;0,L15&gt;0), K15*L15, "")</f>
        <v/>
      </c>
      <c r="U15">
        <f>IF(OR(E15="",F15="",M15=""),"",IF(AND(E15&lt;=$B$4,F15&lt;=$B$5,M15&lt;=$B$6),"Pass","Review"))</f>
        <v/>
      </c>
      <c r="V15">
        <f>IF(OR(E15="",F15="",M15=""),"",IF(E15&gt;$B$4,"Slice thickness above limit – lower slice thickness or adjust coverage.",IF(F15&gt;$B$5,"Gap above limit – reduce or remove interslice gap.",IF(M15&gt;$B$6,"Pixel size above limit – reduce FOV or increase matrix to improve resolution.","Meets current criteria."))))</f>
        <v/>
      </c>
    </row>
    <row r="16">
      <c r="K16">
        <f>IF(J16&gt;0, H16/J16, "")</f>
        <v/>
      </c>
      <c r="L16">
        <f>IF(I16&gt;0, G16/I16, "")</f>
        <v/>
      </c>
      <c r="M16">
        <f>IF(AND(K16&gt;0,L16&gt;0), K16*L16, "")</f>
        <v/>
      </c>
      <c r="U16">
        <f>IF(OR(E16="",F16="",M16=""),"",IF(AND(E16&lt;=$B$4,F16&lt;=$B$5,M16&lt;=$B$6),"Pass","Review"))</f>
        <v/>
      </c>
      <c r="V16">
        <f>IF(OR(E16="",F16="",M16=""),"",IF(E16&gt;$B$4,"Slice thickness above limit – lower slice thickness or adjust coverage.",IF(F16&gt;$B$5,"Gap above limit – reduce or remove interslice gap.",IF(M16&gt;$B$6,"Pixel size above limit – reduce FOV or increase matrix to improve resolution.","Meets current criteria."))))</f>
        <v/>
      </c>
    </row>
    <row r="17">
      <c r="K17">
        <f>IF(J17&gt;0, H17/J17, "")</f>
        <v/>
      </c>
      <c r="L17">
        <f>IF(I17&gt;0, G17/I17, "")</f>
        <v/>
      </c>
      <c r="M17">
        <f>IF(AND(K17&gt;0,L17&gt;0), K17*L17, "")</f>
        <v/>
      </c>
      <c r="U17">
        <f>IF(OR(E17="",F17="",M17=""),"",IF(AND(E17&lt;=$B$4,F17&lt;=$B$5,M17&lt;=$B$6),"Pass","Review"))</f>
        <v/>
      </c>
      <c r="V17">
        <f>IF(OR(E17="",F17="",M17=""),"",IF(E17&gt;$B$4,"Slice thickness above limit – lower slice thickness or adjust coverage.",IF(F17&gt;$B$5,"Gap above limit – reduce or remove interslice gap.",IF(M17&gt;$B$6,"Pixel size above limit – reduce FOV or increase matrix to improve resolution.","Meets current criteria."))))</f>
        <v/>
      </c>
    </row>
    <row r="18">
      <c r="K18">
        <f>IF(J18&gt;0, H18/J18, "")</f>
        <v/>
      </c>
      <c r="L18">
        <f>IF(I18&gt;0, G18/I18, "")</f>
        <v/>
      </c>
      <c r="M18">
        <f>IF(AND(K18&gt;0,L18&gt;0), K18*L18, "")</f>
        <v/>
      </c>
      <c r="U18">
        <f>IF(OR(E18="",F18="",M18=""),"",IF(AND(E18&lt;=$B$4,F18&lt;=$B$5,M18&lt;=$B$6),"Pass","Review"))</f>
        <v/>
      </c>
      <c r="V18">
        <f>IF(OR(E18="",F18="",M18=""),"",IF(E18&gt;$B$4,"Slice thickness above limit – lower slice thickness or adjust coverage.",IF(F18&gt;$B$5,"Gap above limit – reduce or remove interslice gap.",IF(M18&gt;$B$6,"Pixel size above limit – reduce FOV or increase matrix to improve resolution.","Meets current criteria."))))</f>
        <v/>
      </c>
    </row>
    <row r="19">
      <c r="K19">
        <f>IF(J19&gt;0, H19/J19, "")</f>
        <v/>
      </c>
      <c r="L19">
        <f>IF(I19&gt;0, G19/I19, "")</f>
        <v/>
      </c>
      <c r="M19">
        <f>IF(AND(K19&gt;0,L19&gt;0), K19*L19, "")</f>
        <v/>
      </c>
      <c r="U19">
        <f>IF(OR(E19="",F19="",M19=""),"",IF(AND(E19&lt;=$B$4,F19&lt;=$B$5,M19&lt;=$B$6),"Pass","Review"))</f>
        <v/>
      </c>
      <c r="V19">
        <f>IF(OR(E19="",F19="",M19=""),"",IF(E19&gt;$B$4,"Slice thickness above limit – lower slice thickness or adjust coverage.",IF(F19&gt;$B$5,"Gap above limit – reduce or remove interslice gap.",IF(M19&gt;$B$6,"Pixel size above limit – reduce FOV or increase matrix to improve resolution.","Meets current criteria."))))</f>
        <v/>
      </c>
    </row>
    <row r="20">
      <c r="K20">
        <f>IF(J20&gt;0, H20/J20, "")</f>
        <v/>
      </c>
      <c r="L20">
        <f>IF(I20&gt;0, G20/I20, "")</f>
        <v/>
      </c>
      <c r="M20">
        <f>IF(AND(K20&gt;0,L20&gt;0), K20*L20, "")</f>
        <v/>
      </c>
      <c r="U20">
        <f>IF(OR(E20="",F20="",M20=""),"",IF(AND(E20&lt;=$B$4,F20&lt;=$B$5,M20&lt;=$B$6),"Pass","Review"))</f>
        <v/>
      </c>
      <c r="V20">
        <f>IF(OR(E20="",F20="",M20=""),"",IF(E20&gt;$B$4,"Slice thickness above limit – lower slice thickness or adjust coverage.",IF(F20&gt;$B$5,"Gap above limit – reduce or remove interslice gap.",IF(M20&gt;$B$6,"Pixel size above limit – reduce FOV or increase matrix to improve resolution.","Meets current criteria."))))</f>
        <v/>
      </c>
    </row>
    <row r="21">
      <c r="K21">
        <f>IF(J21&gt;0, H21/J21, "")</f>
        <v/>
      </c>
      <c r="L21">
        <f>IF(I21&gt;0, G21/I21, "")</f>
        <v/>
      </c>
      <c r="M21">
        <f>IF(AND(K21&gt;0,L21&gt;0), K21*L21, "")</f>
        <v/>
      </c>
      <c r="U21">
        <f>IF(OR(E21="",F21="",M21=""),"",IF(AND(E21&lt;=$B$4,F21&lt;=$B$5,M21&lt;=$B$6),"Pass","Review"))</f>
        <v/>
      </c>
      <c r="V21">
        <f>IF(OR(E21="",F21="",M21=""),"",IF(E21&gt;$B$4,"Slice thickness above limit – lower slice thickness or adjust coverage.",IF(F21&gt;$B$5,"Gap above limit – reduce or remove interslice gap.",IF(M21&gt;$B$6,"Pixel size above limit – reduce FOV or increase matrix to improve resolution.","Meets current criteria."))))</f>
        <v/>
      </c>
    </row>
    <row r="22">
      <c r="K22">
        <f>IF(J22&gt;0, H22/J22, "")</f>
        <v/>
      </c>
      <c r="L22">
        <f>IF(I22&gt;0, G22/I22, "")</f>
        <v/>
      </c>
      <c r="M22">
        <f>IF(AND(K22&gt;0,L22&gt;0), K22*L22, "")</f>
        <v/>
      </c>
      <c r="U22">
        <f>IF(OR(E22="",F22="",M22=""),"",IF(AND(E22&lt;=$B$4,F22&lt;=$B$5,M22&lt;=$B$6),"Pass","Review"))</f>
        <v/>
      </c>
      <c r="V22">
        <f>IF(OR(E22="",F22="",M22=""),"",IF(E22&gt;$B$4,"Slice thickness above limit – lower slice thickness or adjust coverage.",IF(F22&gt;$B$5,"Gap above limit – reduce or remove interslice gap.",IF(M22&gt;$B$6,"Pixel size above limit – reduce FOV or increase matrix to improve resolution.","Meets current criteria."))))</f>
        <v/>
      </c>
    </row>
    <row r="23">
      <c r="K23">
        <f>IF(J23&gt;0, H23/J23, "")</f>
        <v/>
      </c>
      <c r="L23">
        <f>IF(I23&gt;0, G23/I23, "")</f>
        <v/>
      </c>
      <c r="M23">
        <f>IF(AND(K23&gt;0,L23&gt;0), K23*L23, "")</f>
        <v/>
      </c>
      <c r="U23">
        <f>IF(OR(E23="",F23="",M23=""),"",IF(AND(E23&lt;=$B$4,F23&lt;=$B$5,M23&lt;=$B$6),"Pass","Review"))</f>
        <v/>
      </c>
      <c r="V23">
        <f>IF(OR(E23="",F23="",M23=""),"",IF(E23&gt;$B$4,"Slice thickness above limit – lower slice thickness or adjust coverage.",IF(F23&gt;$B$5,"Gap above limit – reduce or remove interslice gap.",IF(M23&gt;$B$6,"Pixel size above limit – reduce FOV or increase matrix to improve resolution.","Meets current criteria."))))</f>
        <v/>
      </c>
    </row>
    <row r="24">
      <c r="K24">
        <f>IF(J24&gt;0, H24/J24, "")</f>
        <v/>
      </c>
      <c r="L24">
        <f>IF(I24&gt;0, G24/I24, "")</f>
        <v/>
      </c>
      <c r="M24">
        <f>IF(AND(K24&gt;0,L24&gt;0), K24*L24, "")</f>
        <v/>
      </c>
      <c r="U24">
        <f>IF(OR(E24="",F24="",M24=""),"",IF(AND(E24&lt;=$B$4,F24&lt;=$B$5,M24&lt;=$B$6),"Pass","Review"))</f>
        <v/>
      </c>
      <c r="V24">
        <f>IF(OR(E24="",F24="",M24=""),"",IF(E24&gt;$B$4,"Slice thickness above limit – lower slice thickness or adjust coverage.",IF(F24&gt;$B$5,"Gap above limit – reduce or remove interslice gap.",IF(M24&gt;$B$6,"Pixel size above limit – reduce FOV or increase matrix to improve resolution.","Meets current criteria."))))</f>
        <v/>
      </c>
    </row>
    <row r="25">
      <c r="K25">
        <f>IF(J25&gt;0, H25/J25, "")</f>
        <v/>
      </c>
      <c r="L25">
        <f>IF(I25&gt;0, G25/I25, "")</f>
        <v/>
      </c>
      <c r="M25">
        <f>IF(AND(K25&gt;0,L25&gt;0), K25*L25, "")</f>
        <v/>
      </c>
      <c r="U25">
        <f>IF(OR(E25="",F25="",M25=""),"",IF(AND(E25&lt;=$B$4,F25&lt;=$B$5,M25&lt;=$B$6),"Pass","Review"))</f>
        <v/>
      </c>
      <c r="V25">
        <f>IF(OR(E25="",F25="",M25=""),"",IF(E25&gt;$B$4,"Slice thickness above limit – lower slice thickness or adjust coverage.",IF(F25&gt;$B$5,"Gap above limit – reduce or remove interslice gap.",IF(M25&gt;$B$6,"Pixel size above limit – reduce FOV or increase matrix to improve resolution.","Meets current criteria."))))</f>
        <v/>
      </c>
    </row>
    <row r="26">
      <c r="K26">
        <f>IF(J26&gt;0, H26/J26, "")</f>
        <v/>
      </c>
      <c r="L26">
        <f>IF(I26&gt;0, G26/I26, "")</f>
        <v/>
      </c>
      <c r="M26">
        <f>IF(AND(K26&gt;0,L26&gt;0), K26*L26, "")</f>
        <v/>
      </c>
      <c r="U26">
        <f>IF(OR(E26="",F26="",M26=""),"",IF(AND(E26&lt;=$B$4,F26&lt;=$B$5,M26&lt;=$B$6),"Pass","Review"))</f>
        <v/>
      </c>
      <c r="V26">
        <f>IF(OR(E26="",F26="",M26=""),"",IF(E26&gt;$B$4,"Slice thickness above limit – lower slice thickness or adjust coverage.",IF(F26&gt;$B$5,"Gap above limit – reduce or remove interslice gap.",IF(M26&gt;$B$6,"Pixel size above limit – reduce FOV or increase matrix to improve resolution.","Meets current criteria."))))</f>
        <v/>
      </c>
    </row>
    <row r="27">
      <c r="K27">
        <f>IF(J27&gt;0, H27/J27, "")</f>
        <v/>
      </c>
      <c r="L27">
        <f>IF(I27&gt;0, G27/I27, "")</f>
        <v/>
      </c>
      <c r="M27">
        <f>IF(AND(K27&gt;0,L27&gt;0), K27*L27, "")</f>
        <v/>
      </c>
      <c r="U27">
        <f>IF(OR(E27="",F27="",M27=""),"",IF(AND(E27&lt;=$B$4,F27&lt;=$B$5,M27&lt;=$B$6),"Pass","Review"))</f>
        <v/>
      </c>
      <c r="V27">
        <f>IF(OR(E27="",F27="",M27=""),"",IF(E27&gt;$B$4,"Slice thickness above limit – lower slice thickness or adjust coverage.",IF(F27&gt;$B$5,"Gap above limit – reduce or remove interslice gap.",IF(M27&gt;$B$6,"Pixel size above limit – reduce FOV or increase matrix to improve resolution.","Meets current criteria."))))</f>
        <v/>
      </c>
    </row>
    <row r="28">
      <c r="K28">
        <f>IF(J28&gt;0, H28/J28, "")</f>
        <v/>
      </c>
      <c r="L28">
        <f>IF(I28&gt;0, G28/I28, "")</f>
        <v/>
      </c>
      <c r="M28">
        <f>IF(AND(K28&gt;0,L28&gt;0), K28*L28, "")</f>
        <v/>
      </c>
      <c r="U28">
        <f>IF(OR(E28="",F28="",M28=""),"",IF(AND(E28&lt;=$B$4,F28&lt;=$B$5,M28&lt;=$B$6),"Pass","Review"))</f>
        <v/>
      </c>
      <c r="V28">
        <f>IF(OR(E28="",F28="",M28=""),"",IF(E28&gt;$B$4,"Slice thickness above limit – lower slice thickness or adjust coverage.",IF(F28&gt;$B$5,"Gap above limit – reduce or remove interslice gap.",IF(M28&gt;$B$6,"Pixel size above limit – reduce FOV or increase matrix to improve resolution.","Meets current criteria."))))</f>
        <v/>
      </c>
    </row>
    <row r="29">
      <c r="K29">
        <f>IF(J29&gt;0, H29/J29, "")</f>
        <v/>
      </c>
      <c r="L29">
        <f>IF(I29&gt;0, G29/I29, "")</f>
        <v/>
      </c>
      <c r="M29">
        <f>IF(AND(K29&gt;0,L29&gt;0), K29*L29, "")</f>
        <v/>
      </c>
      <c r="U29">
        <f>IF(OR(E29="",F29="",M29=""),"",IF(AND(E29&lt;=$B$4,F29&lt;=$B$5,M29&lt;=$B$6),"Pass","Review"))</f>
        <v/>
      </c>
      <c r="V29">
        <f>IF(OR(E29="",F29="",M29=""),"",IF(E29&gt;$B$4,"Slice thickness above limit – lower slice thickness or adjust coverage.",IF(F29&gt;$B$5,"Gap above limit – reduce or remove interslice gap.",IF(M29&gt;$B$6,"Pixel size above limit – reduce FOV or increase matrix to improve resolution.","Meets current criteria."))))</f>
        <v/>
      </c>
    </row>
    <row r="30">
      <c r="K30">
        <f>IF(J30&gt;0, H30/J30, "")</f>
        <v/>
      </c>
      <c r="L30">
        <f>IF(I30&gt;0, G30/I30, "")</f>
        <v/>
      </c>
      <c r="M30">
        <f>IF(AND(K30&gt;0,L30&gt;0), K30*L30, "")</f>
        <v/>
      </c>
      <c r="U30">
        <f>IF(OR(E30="",F30="",M30=""),"",IF(AND(E30&lt;=$B$4,F30&lt;=$B$5,M30&lt;=$B$6),"Pass","Review"))</f>
        <v/>
      </c>
      <c r="V30">
        <f>IF(OR(E30="",F30="",M30=""),"",IF(E30&gt;$B$4,"Slice thickness above limit – lower slice thickness or adjust coverage.",IF(F30&gt;$B$5,"Gap above limit – reduce or remove interslice gap.",IF(M30&gt;$B$6,"Pixel size above limit – reduce FOV or increase matrix to improve resolution.","Meets current criteria."))))</f>
        <v/>
      </c>
    </row>
    <row r="31">
      <c r="K31">
        <f>IF(J31&gt;0, H31/J31, "")</f>
        <v/>
      </c>
      <c r="L31">
        <f>IF(I31&gt;0, G31/I31, "")</f>
        <v/>
      </c>
      <c r="M31">
        <f>IF(AND(K31&gt;0,L31&gt;0), K31*L31, "")</f>
        <v/>
      </c>
      <c r="U31">
        <f>IF(OR(E31="",F31="",M31=""),"",IF(AND(E31&lt;=$B$4,F31&lt;=$B$5,M31&lt;=$B$6),"Pass","Review"))</f>
        <v/>
      </c>
      <c r="V31">
        <f>IF(OR(E31="",F31="",M31=""),"",IF(E31&gt;$B$4,"Slice thickness above limit – lower slice thickness or adjust coverage.",IF(F31&gt;$B$5,"Gap above limit – reduce or remove interslice gap.",IF(M31&gt;$B$6,"Pixel size above limit – reduce FOV or increase matrix to improve resolution.","Meets current criteria."))))</f>
        <v/>
      </c>
    </row>
    <row r="32">
      <c r="K32">
        <f>IF(J32&gt;0, H32/J32, "")</f>
        <v/>
      </c>
      <c r="L32">
        <f>IF(I32&gt;0, G32/I32, "")</f>
        <v/>
      </c>
      <c r="M32">
        <f>IF(AND(K32&gt;0,L32&gt;0), K32*L32, "")</f>
        <v/>
      </c>
      <c r="U32">
        <f>IF(OR(E32="",F32="",M32=""),"",IF(AND(E32&lt;=$B$4,F32&lt;=$B$5,M32&lt;=$B$6),"Pass","Review"))</f>
        <v/>
      </c>
      <c r="V32">
        <f>IF(OR(E32="",F32="",M32=""),"",IF(E32&gt;$B$4,"Slice thickness above limit – lower slice thickness or adjust coverage.",IF(F32&gt;$B$5,"Gap above limit – reduce or remove interslice gap.",IF(M32&gt;$B$6,"Pixel size above limit – reduce FOV or increase matrix to improve resolution.","Meets current criteria."))))</f>
        <v/>
      </c>
    </row>
    <row r="33">
      <c r="K33">
        <f>IF(J33&gt;0, H33/J33, "")</f>
        <v/>
      </c>
      <c r="L33">
        <f>IF(I33&gt;0, G33/I33, "")</f>
        <v/>
      </c>
      <c r="M33">
        <f>IF(AND(K33&gt;0,L33&gt;0), K33*L33, "")</f>
        <v/>
      </c>
      <c r="U33">
        <f>IF(OR(E33="",F33="",M33=""),"",IF(AND(E33&lt;=$B$4,F33&lt;=$B$5,M33&lt;=$B$6),"Pass","Review"))</f>
        <v/>
      </c>
      <c r="V33">
        <f>IF(OR(E33="",F33="",M33=""),"",IF(E33&gt;$B$4,"Slice thickness above limit – lower slice thickness or adjust coverage.",IF(F33&gt;$B$5,"Gap above limit – reduce or remove interslice gap.",IF(M33&gt;$B$6,"Pixel size above limit – reduce FOV or increase matrix to improve resolution.","Meets current criteria."))))</f>
        <v/>
      </c>
    </row>
    <row r="34">
      <c r="K34">
        <f>IF(J34&gt;0, H34/J34, "")</f>
        <v/>
      </c>
      <c r="L34">
        <f>IF(I34&gt;0, G34/I34, "")</f>
        <v/>
      </c>
      <c r="M34">
        <f>IF(AND(K34&gt;0,L34&gt;0), K34*L34, "")</f>
        <v/>
      </c>
      <c r="U34">
        <f>IF(OR(E34="",F34="",M34=""),"",IF(AND(E34&lt;=$B$4,F34&lt;=$B$5,M34&lt;=$B$6),"Pass","Review"))</f>
        <v/>
      </c>
      <c r="V34">
        <f>IF(OR(E34="",F34="",M34=""),"",IF(E34&gt;$B$4,"Slice thickness above limit – lower slice thickness or adjust coverage.",IF(F34&gt;$B$5,"Gap above limit – reduce or remove interslice gap.",IF(M34&gt;$B$6,"Pixel size above limit – reduce FOV or increase matrix to improve resolution.","Meets current criteria."))))</f>
        <v/>
      </c>
    </row>
    <row r="35">
      <c r="K35">
        <f>IF(J35&gt;0, H35/J35, "")</f>
        <v/>
      </c>
      <c r="L35">
        <f>IF(I35&gt;0, G35/I35, "")</f>
        <v/>
      </c>
      <c r="M35">
        <f>IF(AND(K35&gt;0,L35&gt;0), K35*L35, "")</f>
        <v/>
      </c>
      <c r="U35">
        <f>IF(OR(E35="",F35="",M35=""),"",IF(AND(E35&lt;=$B$4,F35&lt;=$B$5,M35&lt;=$B$6),"Pass","Review"))</f>
        <v/>
      </c>
      <c r="V35">
        <f>IF(OR(E35="",F35="",M35=""),"",IF(E35&gt;$B$4,"Slice thickness above limit – lower slice thickness or adjust coverage.",IF(F35&gt;$B$5,"Gap above limit – reduce or remove interslice gap.",IF(M35&gt;$B$6,"Pixel size above limit – reduce FOV or increase matrix to improve resolution.","Meets current criteria."))))</f>
        <v/>
      </c>
    </row>
    <row r="36">
      <c r="K36">
        <f>IF(J36&gt;0, H36/J36, "")</f>
        <v/>
      </c>
      <c r="L36">
        <f>IF(I36&gt;0, G36/I36, "")</f>
        <v/>
      </c>
      <c r="M36">
        <f>IF(AND(K36&gt;0,L36&gt;0), K36*L36, "")</f>
        <v/>
      </c>
      <c r="U36">
        <f>IF(OR(E36="",F36="",M36=""),"",IF(AND(E36&lt;=$B$4,F36&lt;=$B$5,M36&lt;=$B$6),"Pass","Review"))</f>
        <v/>
      </c>
      <c r="V36">
        <f>IF(OR(E36="",F36="",M36=""),"",IF(E36&gt;$B$4,"Slice thickness above limit – lower slice thickness or adjust coverage.",IF(F36&gt;$B$5,"Gap above limit – reduce or remove interslice gap.",IF(M36&gt;$B$6,"Pixel size above limit – reduce FOV or increase matrix to improve resolution.","Meets current criteria."))))</f>
        <v/>
      </c>
    </row>
    <row r="37">
      <c r="K37">
        <f>IF(J37&gt;0, H37/J37, "")</f>
        <v/>
      </c>
      <c r="L37">
        <f>IF(I37&gt;0, G37/I37, "")</f>
        <v/>
      </c>
      <c r="M37">
        <f>IF(AND(K37&gt;0,L37&gt;0), K37*L37, "")</f>
        <v/>
      </c>
      <c r="U37">
        <f>IF(OR(E37="",F37="",M37=""),"",IF(AND(E37&lt;=$B$4,F37&lt;=$B$5,M37&lt;=$B$6),"Pass","Review"))</f>
        <v/>
      </c>
      <c r="V37">
        <f>IF(OR(E37="",F37="",M37=""),"",IF(E37&gt;$B$4,"Slice thickness above limit – lower slice thickness or adjust coverage.",IF(F37&gt;$B$5,"Gap above limit – reduce or remove interslice gap.",IF(M37&gt;$B$6,"Pixel size above limit – reduce FOV or increase matrix to improve resolution.","Meets current criteria."))))</f>
        <v/>
      </c>
    </row>
    <row r="38">
      <c r="K38">
        <f>IF(J38&gt;0, H38/J38, "")</f>
        <v/>
      </c>
      <c r="L38">
        <f>IF(I38&gt;0, G38/I38, "")</f>
        <v/>
      </c>
      <c r="M38">
        <f>IF(AND(K38&gt;0,L38&gt;0), K38*L38, "")</f>
        <v/>
      </c>
      <c r="U38">
        <f>IF(OR(E38="",F38="",M38=""),"",IF(AND(E38&lt;=$B$4,F38&lt;=$B$5,M38&lt;=$B$6),"Pass","Review"))</f>
        <v/>
      </c>
      <c r="V38">
        <f>IF(OR(E38="",F38="",M38=""),"",IF(E38&gt;$B$4,"Slice thickness above limit – lower slice thickness or adjust coverage.",IF(F38&gt;$B$5,"Gap above limit – reduce or remove interslice gap.",IF(M38&gt;$B$6,"Pixel size above limit – reduce FOV or increase matrix to improve resolution.","Meets current criteria."))))</f>
        <v/>
      </c>
    </row>
    <row r="39">
      <c r="K39">
        <f>IF(J39&gt;0, H39/J39, "")</f>
        <v/>
      </c>
      <c r="L39">
        <f>IF(I39&gt;0, G39/I39, "")</f>
        <v/>
      </c>
      <c r="M39">
        <f>IF(AND(K39&gt;0,L39&gt;0), K39*L39, "")</f>
        <v/>
      </c>
      <c r="U39">
        <f>IF(OR(E39="",F39="",M39=""),"",IF(AND(E39&lt;=$B$4,F39&lt;=$B$5,M39&lt;=$B$6),"Pass","Review"))</f>
        <v/>
      </c>
      <c r="V39">
        <f>IF(OR(E39="",F39="",M39=""),"",IF(E39&gt;$B$4,"Slice thickness above limit – lower slice thickness or adjust coverage.",IF(F39&gt;$B$5,"Gap above limit – reduce or remove interslice gap.",IF(M39&gt;$B$6,"Pixel size above limit – reduce FOV or increase matrix to improve resolution.","Meets current criteria."))))</f>
        <v/>
      </c>
    </row>
    <row r="40">
      <c r="K40">
        <f>IF(J40&gt;0, H40/J40, "")</f>
        <v/>
      </c>
      <c r="L40">
        <f>IF(I40&gt;0, G40/I40, "")</f>
        <v/>
      </c>
      <c r="M40">
        <f>IF(AND(K40&gt;0,L40&gt;0), K40*L40, "")</f>
        <v/>
      </c>
      <c r="U40">
        <f>IF(OR(E40="",F40="",M40=""),"",IF(AND(E40&lt;=$B$4,F40&lt;=$B$5,M40&lt;=$B$6),"Pass","Review"))</f>
        <v/>
      </c>
      <c r="V40">
        <f>IF(OR(E40="",F40="",M40=""),"",IF(E40&gt;$B$4,"Slice thickness above limit – lower slice thickness or adjust coverage.",IF(F40&gt;$B$5,"Gap above limit – reduce or remove interslice gap.",IF(M40&gt;$B$6,"Pixel size above limit – reduce FOV or increase matrix to improve resolution.","Meets current criteria."))))</f>
        <v/>
      </c>
    </row>
    <row r="41">
      <c r="K41">
        <f>IF(J41&gt;0, H41/J41, "")</f>
        <v/>
      </c>
      <c r="L41">
        <f>IF(I41&gt;0, G41/I41, "")</f>
        <v/>
      </c>
      <c r="M41">
        <f>IF(AND(K41&gt;0,L41&gt;0), K41*L41, "")</f>
        <v/>
      </c>
      <c r="U41">
        <f>IF(OR(E41="",F41="",M41=""),"",IF(AND(E41&lt;=$B$4,F41&lt;=$B$5,M41&lt;=$B$6),"Pass","Review"))</f>
        <v/>
      </c>
      <c r="V41">
        <f>IF(OR(E41="",F41="",M41=""),"",IF(E41&gt;$B$4,"Slice thickness above limit – lower slice thickness or adjust coverage.",IF(F41&gt;$B$5,"Gap above limit – reduce or remove interslice gap.",IF(M41&gt;$B$6,"Pixel size above limit – reduce FOV or increase matrix to improve resolution.","Meets current criteria."))))</f>
        <v/>
      </c>
    </row>
    <row r="42">
      <c r="K42">
        <f>IF(J42&gt;0, H42/J42, "")</f>
        <v/>
      </c>
      <c r="L42">
        <f>IF(I42&gt;0, G42/I42, "")</f>
        <v/>
      </c>
      <c r="M42">
        <f>IF(AND(K42&gt;0,L42&gt;0), K42*L42, "")</f>
        <v/>
      </c>
      <c r="U42">
        <f>IF(OR(E42="",F42="",M42=""),"",IF(AND(E42&lt;=$B$4,F42&lt;=$B$5,M42&lt;=$B$6),"Pass","Review"))</f>
        <v/>
      </c>
      <c r="V42">
        <f>IF(OR(E42="",F42="",M42=""),"",IF(E42&gt;$B$4,"Slice thickness above limit – lower slice thickness or adjust coverage.",IF(F42&gt;$B$5,"Gap above limit – reduce or remove interslice gap.",IF(M42&gt;$B$6,"Pixel size above limit – reduce FOV or increase matrix to improve resolution.","Meets current criteria."))))</f>
        <v/>
      </c>
    </row>
    <row r="43">
      <c r="K43">
        <f>IF(J43&gt;0, H43/J43, "")</f>
        <v/>
      </c>
      <c r="L43">
        <f>IF(I43&gt;0, G43/I43, "")</f>
        <v/>
      </c>
      <c r="M43">
        <f>IF(AND(K43&gt;0,L43&gt;0), K43*L43, "")</f>
        <v/>
      </c>
      <c r="U43">
        <f>IF(OR(E43="",F43="",M43=""),"",IF(AND(E43&lt;=$B$4,F43&lt;=$B$5,M43&lt;=$B$6),"Pass","Review"))</f>
        <v/>
      </c>
      <c r="V43">
        <f>IF(OR(E43="",F43="",M43=""),"",IF(E43&gt;$B$4,"Slice thickness above limit – lower slice thickness or adjust coverage.",IF(F43&gt;$B$5,"Gap above limit – reduce or remove interslice gap.",IF(M43&gt;$B$6,"Pixel size above limit – reduce FOV or increase matrix to improve resolution.","Meets current criteria."))))</f>
        <v/>
      </c>
    </row>
    <row r="44">
      <c r="K44">
        <f>IF(J44&gt;0, H44/J44, "")</f>
        <v/>
      </c>
      <c r="L44">
        <f>IF(I44&gt;0, G44/I44, "")</f>
        <v/>
      </c>
      <c r="M44">
        <f>IF(AND(K44&gt;0,L44&gt;0), K44*L44, "")</f>
        <v/>
      </c>
      <c r="U44">
        <f>IF(OR(E44="",F44="",M44=""),"",IF(AND(E44&lt;=$B$4,F44&lt;=$B$5,M44&lt;=$B$6),"Pass","Review"))</f>
        <v/>
      </c>
      <c r="V44">
        <f>IF(OR(E44="",F44="",M44=""),"",IF(E44&gt;$B$4,"Slice thickness above limit – lower slice thickness or adjust coverage.",IF(F44&gt;$B$5,"Gap above limit – reduce or remove interslice gap.",IF(M44&gt;$B$6,"Pixel size above limit – reduce FOV or increase matrix to improve resolution.","Meets current criteria."))))</f>
        <v/>
      </c>
    </row>
    <row r="45">
      <c r="K45">
        <f>IF(J45&gt;0, H45/J45, "")</f>
        <v/>
      </c>
      <c r="L45">
        <f>IF(I45&gt;0, G45/I45, "")</f>
        <v/>
      </c>
      <c r="M45">
        <f>IF(AND(K45&gt;0,L45&gt;0), K45*L45, "")</f>
        <v/>
      </c>
      <c r="U45">
        <f>IF(OR(E45="",F45="",M45=""),"",IF(AND(E45&lt;=$B$4,F45&lt;=$B$5,M45&lt;=$B$6),"Pass","Review"))</f>
        <v/>
      </c>
      <c r="V45">
        <f>IF(OR(E45="",F45="",M45=""),"",IF(E45&gt;$B$4,"Slice thickness above limit – lower slice thickness or adjust coverage.",IF(F45&gt;$B$5,"Gap above limit – reduce or remove interslice gap.",IF(M45&gt;$B$6,"Pixel size above limit – reduce FOV or increase matrix to improve resolution.","Meets current criteria."))))</f>
        <v/>
      </c>
    </row>
    <row r="46">
      <c r="K46">
        <f>IF(J46&gt;0, H46/J46, "")</f>
        <v/>
      </c>
      <c r="L46">
        <f>IF(I46&gt;0, G46/I46, "")</f>
        <v/>
      </c>
      <c r="M46">
        <f>IF(AND(K46&gt;0,L46&gt;0), K46*L46, "")</f>
        <v/>
      </c>
      <c r="U46">
        <f>IF(OR(E46="",F46="",M46=""),"",IF(AND(E46&lt;=$B$4,F46&lt;=$B$5,M46&lt;=$B$6),"Pass","Review"))</f>
        <v/>
      </c>
      <c r="V46">
        <f>IF(OR(E46="",F46="",M46=""),"",IF(E46&gt;$B$4,"Slice thickness above limit – lower slice thickness or adjust coverage.",IF(F46&gt;$B$5,"Gap above limit – reduce or remove interslice gap.",IF(M46&gt;$B$6,"Pixel size above limit – reduce FOV or increase matrix to improve resolution.","Meets current criteria."))))</f>
        <v/>
      </c>
    </row>
    <row r="47">
      <c r="K47">
        <f>IF(J47&gt;0, H47/J47, "")</f>
        <v/>
      </c>
      <c r="L47">
        <f>IF(I47&gt;0, G47/I47, "")</f>
        <v/>
      </c>
      <c r="M47">
        <f>IF(AND(K47&gt;0,L47&gt;0), K47*L47, "")</f>
        <v/>
      </c>
      <c r="U47">
        <f>IF(OR(E47="",F47="",M47=""),"",IF(AND(E47&lt;=$B$4,F47&lt;=$B$5,M47&lt;=$B$6),"Pass","Review"))</f>
        <v/>
      </c>
      <c r="V47">
        <f>IF(OR(E47="",F47="",M47=""),"",IF(E47&gt;$B$4,"Slice thickness above limit – lower slice thickness or adjust coverage.",IF(F47&gt;$B$5,"Gap above limit – reduce or remove interslice gap.",IF(M47&gt;$B$6,"Pixel size above limit – reduce FOV or increase matrix to improve resolution.","Meets current criteria."))))</f>
        <v/>
      </c>
    </row>
    <row r="48">
      <c r="K48">
        <f>IF(J48&gt;0, H48/J48, "")</f>
        <v/>
      </c>
      <c r="L48">
        <f>IF(I48&gt;0, G48/I48, "")</f>
        <v/>
      </c>
      <c r="M48">
        <f>IF(AND(K48&gt;0,L48&gt;0), K48*L48, "")</f>
        <v/>
      </c>
      <c r="U48">
        <f>IF(OR(E48="",F48="",M48=""),"",IF(AND(E48&lt;=$B$4,F48&lt;=$B$5,M48&lt;=$B$6),"Pass","Review"))</f>
        <v/>
      </c>
      <c r="V48">
        <f>IF(OR(E48="",F48="",M48=""),"",IF(E48&gt;$B$4,"Slice thickness above limit – lower slice thickness or adjust coverage.",IF(F48&gt;$B$5,"Gap above limit – reduce or remove interslice gap.",IF(M48&gt;$B$6,"Pixel size above limit – reduce FOV or increase matrix to improve resolution.","Meets current criteria."))))</f>
        <v/>
      </c>
    </row>
    <row r="49">
      <c r="K49">
        <f>IF(J49&gt;0, H49/J49, "")</f>
        <v/>
      </c>
      <c r="L49">
        <f>IF(I49&gt;0, G49/I49, "")</f>
        <v/>
      </c>
      <c r="M49">
        <f>IF(AND(K49&gt;0,L49&gt;0), K49*L49, "")</f>
        <v/>
      </c>
      <c r="U49">
        <f>IF(OR(E49="",F49="",M49=""),"",IF(AND(E49&lt;=$B$4,F49&lt;=$B$5,M49&lt;=$B$6),"Pass","Review"))</f>
        <v/>
      </c>
      <c r="V49">
        <f>IF(OR(E49="",F49="",M49=""),"",IF(E49&gt;$B$4,"Slice thickness above limit – lower slice thickness or adjust coverage.",IF(F49&gt;$B$5,"Gap above limit – reduce or remove interslice gap.",IF(M49&gt;$B$6,"Pixel size above limit – reduce FOV or increase matrix to improve resolution.","Meets current criteria."))))</f>
        <v/>
      </c>
    </row>
    <row r="50">
      <c r="K50">
        <f>IF(J50&gt;0, H50/J50, "")</f>
        <v/>
      </c>
      <c r="L50">
        <f>IF(I50&gt;0, G50/I50, "")</f>
        <v/>
      </c>
      <c r="M50">
        <f>IF(AND(K50&gt;0,L50&gt;0), K50*L50, "")</f>
        <v/>
      </c>
      <c r="U50">
        <f>IF(OR(E50="",F50="",M50=""),"",IF(AND(E50&lt;=$B$4,F50&lt;=$B$5,M50&lt;=$B$6),"Pass","Review"))</f>
        <v/>
      </c>
      <c r="V50">
        <f>IF(OR(E50="",F50="",M50=""),"",IF(E50&gt;$B$4,"Slice thickness above limit – lower slice thickness or adjust coverage.",IF(F50&gt;$B$5,"Gap above limit – reduce or remove interslice gap.",IF(M50&gt;$B$6,"Pixel size above limit – reduce FOV or increase matrix to improve resolution.","Meets current criteria."))))</f>
        <v/>
      </c>
    </row>
    <row r="51">
      <c r="K51">
        <f>IF(J51&gt;0, H51/J51, "")</f>
        <v/>
      </c>
      <c r="L51">
        <f>IF(I51&gt;0, G51/I51, "")</f>
        <v/>
      </c>
      <c r="M51">
        <f>IF(AND(K51&gt;0,L51&gt;0), K51*L51, "")</f>
        <v/>
      </c>
      <c r="U51">
        <f>IF(OR(E51="",F51="",M51=""),"",IF(AND(E51&lt;=$B$4,F51&lt;=$B$5,M51&lt;=$B$6),"Pass","Review"))</f>
        <v/>
      </c>
      <c r="V51">
        <f>IF(OR(E51="",F51="",M51=""),"",IF(E51&gt;$B$4,"Slice thickness above limit – lower slice thickness or adjust coverage.",IF(F51&gt;$B$5,"Gap above limit – reduce or remove interslice gap.",IF(M51&gt;$B$6,"Pixel size above limit – reduce FOV or increase matrix to improve resolution.","Meets current criteria."))))</f>
        <v/>
      </c>
    </row>
    <row r="52">
      <c r="K52">
        <f>IF(J52&gt;0, H52/J52, "")</f>
        <v/>
      </c>
      <c r="L52">
        <f>IF(I52&gt;0, G52/I52, "")</f>
        <v/>
      </c>
      <c r="M52">
        <f>IF(AND(K52&gt;0,L52&gt;0), K52*L52, "")</f>
        <v/>
      </c>
      <c r="U52">
        <f>IF(OR(E52="",F52="",M52=""),"",IF(AND(E52&lt;=$B$4,F52&lt;=$B$5,M52&lt;=$B$6),"Pass","Review"))</f>
        <v/>
      </c>
      <c r="V52">
        <f>IF(OR(E52="",F52="",M52=""),"",IF(E52&gt;$B$4,"Slice thickness above limit – lower slice thickness or adjust coverage.",IF(F52&gt;$B$5,"Gap above limit – reduce or remove interslice gap.",IF(M52&gt;$B$6,"Pixel size above limit – reduce FOV or increase matrix to improve resolution.","Meets current criteria."))))</f>
        <v/>
      </c>
    </row>
    <row r="53">
      <c r="K53">
        <f>IF(J53&gt;0, H53/J53, "")</f>
        <v/>
      </c>
      <c r="L53">
        <f>IF(I53&gt;0, G53/I53, "")</f>
        <v/>
      </c>
      <c r="M53">
        <f>IF(AND(K53&gt;0,L53&gt;0), K53*L53, "")</f>
        <v/>
      </c>
      <c r="U53">
        <f>IF(OR(E53="",F53="",M53=""),"",IF(AND(E53&lt;=$B$4,F53&lt;=$B$5,M53&lt;=$B$6),"Pass","Review"))</f>
        <v/>
      </c>
      <c r="V53">
        <f>IF(OR(E53="",F53="",M53=""),"",IF(E53&gt;$B$4,"Slice thickness above limit – lower slice thickness or adjust coverage.",IF(F53&gt;$B$5,"Gap above limit – reduce or remove interslice gap.",IF(M53&gt;$B$6,"Pixel size above limit – reduce FOV or increase matrix to improve resolution.","Meets current criteria."))))</f>
        <v/>
      </c>
    </row>
    <row r="54">
      <c r="K54">
        <f>IF(J54&gt;0, H54/J54, "")</f>
        <v/>
      </c>
      <c r="L54">
        <f>IF(I54&gt;0, G54/I54, "")</f>
        <v/>
      </c>
      <c r="M54">
        <f>IF(AND(K54&gt;0,L54&gt;0), K54*L54, "")</f>
        <v/>
      </c>
      <c r="U54">
        <f>IF(OR(E54="",F54="",M54=""),"",IF(AND(E54&lt;=$B$4,F54&lt;=$B$5,M54&lt;=$B$6),"Pass","Review"))</f>
        <v/>
      </c>
      <c r="V54">
        <f>IF(OR(E54="",F54="",M54=""),"",IF(E54&gt;$B$4,"Slice thickness above limit – lower slice thickness or adjust coverage.",IF(F54&gt;$B$5,"Gap above limit – reduce or remove interslice gap.",IF(M54&gt;$B$6,"Pixel size above limit – reduce FOV or increase matrix to improve resolution.","Meets current criteria."))))</f>
        <v/>
      </c>
    </row>
    <row r="55">
      <c r="K55">
        <f>IF(J55&gt;0, H55/J55, "")</f>
        <v/>
      </c>
      <c r="L55">
        <f>IF(I55&gt;0, G55/I55, "")</f>
        <v/>
      </c>
      <c r="M55">
        <f>IF(AND(K55&gt;0,L55&gt;0), K55*L55, "")</f>
        <v/>
      </c>
      <c r="U55">
        <f>IF(OR(E55="",F55="",M55=""),"",IF(AND(E55&lt;=$B$4,F55&lt;=$B$5,M55&lt;=$B$6),"Pass","Review"))</f>
        <v/>
      </c>
      <c r="V55">
        <f>IF(OR(E55="",F55="",M55=""),"",IF(E55&gt;$B$4,"Slice thickness above limit – lower slice thickness or adjust coverage.",IF(F55&gt;$B$5,"Gap above limit – reduce or remove interslice gap.",IF(M55&gt;$B$6,"Pixel size above limit – reduce FOV or increase matrix to improve resolution.","Meets current criteria."))))</f>
        <v/>
      </c>
    </row>
    <row r="56">
      <c r="K56">
        <f>IF(J56&gt;0, H56/J56, "")</f>
        <v/>
      </c>
      <c r="L56">
        <f>IF(I56&gt;0, G56/I56, "")</f>
        <v/>
      </c>
      <c r="M56">
        <f>IF(AND(K56&gt;0,L56&gt;0), K56*L56, "")</f>
        <v/>
      </c>
      <c r="U56">
        <f>IF(OR(E56="",F56="",M56=""),"",IF(AND(E56&lt;=$B$4,F56&lt;=$B$5,M56&lt;=$B$6),"Pass","Review"))</f>
        <v/>
      </c>
      <c r="V56">
        <f>IF(OR(E56="",F56="",M56=""),"",IF(E56&gt;$B$4,"Slice thickness above limit – lower slice thickness or adjust coverage.",IF(F56&gt;$B$5,"Gap above limit – reduce or remove interslice gap.",IF(M56&gt;$B$6,"Pixel size above limit – reduce FOV or increase matrix to improve resolution.","Meets current criteria."))))</f>
        <v/>
      </c>
    </row>
    <row r="57">
      <c r="K57">
        <f>IF(J57&gt;0, H57/J57, "")</f>
        <v/>
      </c>
      <c r="L57">
        <f>IF(I57&gt;0, G57/I57, "")</f>
        <v/>
      </c>
      <c r="M57">
        <f>IF(AND(K57&gt;0,L57&gt;0), K57*L57, "")</f>
        <v/>
      </c>
      <c r="U57">
        <f>IF(OR(E57="",F57="",M57=""),"",IF(AND(E57&lt;=$B$4,F57&lt;=$B$5,M57&lt;=$B$6),"Pass","Review"))</f>
        <v/>
      </c>
      <c r="V57">
        <f>IF(OR(E57="",F57="",M57=""),"",IF(E57&gt;$B$4,"Slice thickness above limit – lower slice thickness or adjust coverage.",IF(F57&gt;$B$5,"Gap above limit – reduce or remove interslice gap.",IF(M57&gt;$B$6,"Pixel size above limit – reduce FOV or increase matrix to improve resolution.","Meets current criteria."))))</f>
        <v/>
      </c>
    </row>
    <row r="58">
      <c r="K58">
        <f>IF(J58&gt;0, H58/J58, "")</f>
        <v/>
      </c>
      <c r="L58">
        <f>IF(I58&gt;0, G58/I58, "")</f>
        <v/>
      </c>
      <c r="M58">
        <f>IF(AND(K58&gt;0,L58&gt;0), K58*L58, "")</f>
        <v/>
      </c>
      <c r="U58">
        <f>IF(OR(E58="",F58="",M58=""),"",IF(AND(E58&lt;=$B$4,F58&lt;=$B$5,M58&lt;=$B$6),"Pass","Review"))</f>
        <v/>
      </c>
      <c r="V58">
        <f>IF(OR(E58="",F58="",M58=""),"",IF(E58&gt;$B$4,"Slice thickness above limit – lower slice thickness or adjust coverage.",IF(F58&gt;$B$5,"Gap above limit – reduce or remove interslice gap.",IF(M58&gt;$B$6,"Pixel size above limit – reduce FOV or increase matrix to improve resolution.","Meets current criteria."))))</f>
        <v/>
      </c>
    </row>
    <row r="60">
      <c r="A60" t="inlineStr">
        <is>
          <t>Note: Select the exam type in cell B3. The criteria above (B4–B6) come from the Criteria sheet and are based on ACR MRI accreditation examples. Adjust them only with physics/ACR review.</t>
        </is>
      </c>
    </row>
  </sheetData>
  <dataValidations count="1">
    <dataValidation sqref="B3" showDropDown="0" showInputMessage="0" showErrorMessage="0" allowBlank="1" error="Please select an exam type from the list on the Criteria sheet." prompt="Select the exam type you are evaluating." type="list">
      <formula1>=Criteria!$A$5:$A$15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18" customWidth="1" min="4" max="4"/>
    <col width="22" customWidth="1" min="5" max="5"/>
    <col width="40" customWidth="1" min="6" max="6"/>
  </cols>
  <sheetData>
    <row r="1">
      <c r="A1" t="inlineStr">
        <is>
          <t>ACR-Style Criteria Table (Based on ACR MRI Accreditation Examples)</t>
        </is>
      </c>
    </row>
    <row r="2">
      <c r="A2" t="inlineStr">
        <is>
          <t>NOTE: Values are derived from ACR Head &amp; Neck, Spine, MSK, Body, and MRA example parameter tables. Always confirm with the latest ACR documents and your local physicist.</t>
        </is>
      </c>
    </row>
    <row r="4">
      <c r="A4" t="inlineStr">
        <is>
          <t>Exam Type</t>
        </is>
      </c>
      <c r="B4" t="inlineStr">
        <is>
          <t>Region / Notes</t>
        </is>
      </c>
      <c r="C4" t="inlineStr">
        <is>
          <t>Max Slice Thickness (mm)</t>
        </is>
      </c>
      <c r="D4" t="inlineStr">
        <is>
          <t>Max Gap (mm)</t>
        </is>
      </c>
      <c r="E4" t="inlineStr">
        <is>
          <t>Max Pixel Area (mm²)</t>
        </is>
      </c>
      <c r="F4" t="inlineStr">
        <is>
          <t>Comments</t>
        </is>
      </c>
    </row>
    <row r="5">
      <c r="A5" t="inlineStr">
        <is>
          <t>Brain</t>
        </is>
      </c>
      <c r="B5" t="inlineStr">
        <is>
          <t>Routine brain / TIA</t>
        </is>
      </c>
      <c r="C5" t="n">
        <v>5</v>
      </c>
      <c r="D5" t="n">
        <v>2</v>
      </c>
      <c r="E5" t="n">
        <v>1.2</v>
      </c>
      <c r="F5" t="inlineStr">
        <is>
          <t>Structural sequences (FLAIR, T2, bright-fluid).</t>
        </is>
      </c>
    </row>
    <row r="6">
      <c r="A6" t="inlineStr">
        <is>
          <t>Brain DWI</t>
        </is>
      </c>
      <c r="B6" t="inlineStr">
        <is>
          <t>Axial DWI + ADC</t>
        </is>
      </c>
      <c r="C6" t="n">
        <v>5</v>
      </c>
      <c r="D6" t="n">
        <v>2</v>
      </c>
      <c r="E6" t="n">
        <v>4</v>
      </c>
      <c r="F6" t="inlineStr">
        <is>
          <t>Brain DWI/ADC allows larger pixel area.</t>
        </is>
      </c>
    </row>
    <row r="7">
      <c r="A7" t="inlineStr">
        <is>
          <t>C-Spine</t>
        </is>
      </c>
      <c r="B7" t="inlineStr">
        <is>
          <t>Cervical spine</t>
        </is>
      </c>
      <c r="C7" t="n">
        <v>3</v>
      </c>
      <c r="D7" t="n">
        <v>1</v>
      </c>
      <c r="E7" t="n">
        <v>1</v>
      </c>
      <c r="F7" t="inlineStr">
        <is>
          <t>High-detail sagittal/axial C-spine imaging.</t>
        </is>
      </c>
    </row>
    <row r="8">
      <c r="A8" t="inlineStr">
        <is>
          <t>L-Spine</t>
        </is>
      </c>
      <c r="B8" t="inlineStr">
        <is>
          <t>Lumbar spine</t>
        </is>
      </c>
      <c r="C8" t="n">
        <v>5</v>
      </c>
      <c r="D8" t="n">
        <v>1.5</v>
      </c>
      <c r="E8" t="n">
        <v>1.5</v>
      </c>
      <c r="F8" t="inlineStr">
        <is>
          <t>Lumbar sagittal/axial sequences; ACR-style maxima.</t>
        </is>
      </c>
    </row>
    <row r="9">
      <c r="A9" t="inlineStr">
        <is>
          <t>Knee</t>
        </is>
      </c>
      <c r="B9" t="inlineStr">
        <is>
          <t>MSK – knee</t>
        </is>
      </c>
      <c r="C9" t="n">
        <v>4</v>
      </c>
      <c r="D9" t="n">
        <v>1</v>
      </c>
      <c r="E9" t="n">
        <v>0.6</v>
      </c>
      <c r="F9" t="inlineStr">
        <is>
          <t>Internal derangement knee imaging.</t>
        </is>
      </c>
    </row>
    <row r="10">
      <c r="A10" t="inlineStr">
        <is>
          <t>Shoulder</t>
        </is>
      </c>
      <c r="B10" t="inlineStr">
        <is>
          <t>MSK – shoulder</t>
        </is>
      </c>
      <c r="C10" t="n">
        <v>4</v>
      </c>
      <c r="D10" t="n">
        <v>0.8</v>
      </c>
      <c r="E10" t="n">
        <v>0.8</v>
      </c>
      <c r="F10" t="inlineStr">
        <is>
          <t>Shoulder MSK with fine spatial resolution.</t>
        </is>
      </c>
    </row>
    <row r="11">
      <c r="A11" t="inlineStr">
        <is>
          <t>Wrist/Hand</t>
        </is>
      </c>
      <c r="B11" t="inlineStr">
        <is>
          <t>MSK – small joints</t>
        </is>
      </c>
      <c r="C11" t="n">
        <v>3</v>
      </c>
      <c r="D11" t="n">
        <v>0.5</v>
      </c>
      <c r="E11" t="n">
        <v>0.3</v>
      </c>
      <c r="F11" t="inlineStr">
        <is>
          <t>High-res wrist/small joint imaging.</t>
        </is>
      </c>
    </row>
    <row r="12">
      <c r="A12" t="inlineStr">
        <is>
          <t>Foot/Ankle</t>
        </is>
      </c>
      <c r="B12" t="inlineStr">
        <is>
          <t>MSK – foot/ankle</t>
        </is>
      </c>
      <c r="C12" t="n">
        <v>3</v>
      </c>
      <c r="D12" t="n">
        <v>0.3</v>
      </c>
      <c r="E12" t="n">
        <v>0.4</v>
      </c>
      <c r="F12" t="inlineStr">
        <is>
          <t>Forefoot/ankle Morton-type high-res imaging.</t>
        </is>
      </c>
    </row>
    <row r="13">
      <c r="A13" t="inlineStr">
        <is>
          <t>Abdomen/Liver</t>
        </is>
      </c>
      <c r="B13" t="inlineStr">
        <is>
          <t>Body – abdomen</t>
        </is>
      </c>
      <c r="C13" t="n">
        <v>6</v>
      </c>
      <c r="D13" t="n">
        <v>1.5</v>
      </c>
      <c r="E13" t="n">
        <v>2</v>
      </c>
      <c r="F13" t="inlineStr">
        <is>
          <t>Representative high-quality abdominal imaging limits.</t>
        </is>
      </c>
    </row>
    <row r="14">
      <c r="A14" t="inlineStr">
        <is>
          <t>Pelvis/Prostate</t>
        </is>
      </c>
      <c r="B14" t="inlineStr">
        <is>
          <t>Body – pelvis</t>
        </is>
      </c>
      <c r="C14" t="n">
        <v>5</v>
      </c>
      <c r="D14" t="n">
        <v>1.5</v>
      </c>
      <c r="E14" t="n">
        <v>1</v>
      </c>
      <c r="F14" t="inlineStr">
        <is>
          <t>High-res pelvic/prostate sequences.</t>
        </is>
      </c>
    </row>
    <row r="15">
      <c r="A15" t="inlineStr">
        <is>
          <t>Carotid/Neck MRA</t>
        </is>
      </c>
      <c r="B15" t="inlineStr">
        <is>
          <t>MRA – neck (2D TOF)</t>
        </is>
      </c>
      <c r="C15" t="n">
        <v>2</v>
      </c>
      <c r="D15" t="n">
        <v>0</v>
      </c>
      <c r="E15" t="n">
        <v>1.1</v>
      </c>
      <c r="F15" t="inlineStr">
        <is>
          <t>2D TOF carotid/neck source images.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2025-12-17T03:16:22Z</dcterms:created>
  <dcterms:modified xmlns:dcterms="http://purl.org/dc/terms/" xmlns:xsi="http://www.w3.org/2001/XMLSchema-instance" xsi:type="dcterms:W3CDTF">2025-12-17T03:16:22Z</dcterms:modified>
</cp:coreProperties>
</file>